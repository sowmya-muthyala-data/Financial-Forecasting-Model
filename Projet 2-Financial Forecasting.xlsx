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E28C61B-B93C-4170-9EAE-B02D10E9E530}" xr6:coauthVersionLast="47" xr6:coauthVersionMax="47" xr10:uidLastSave="{00000000-0000-0000-0000-000000000000}"/>
  <bookViews>
    <workbookView xWindow="-110" yWindow="-110" windowWidth="19420" windowHeight="10420" activeTab="1" xr2:uid="{B9CEFC67-22BB-499A-8298-202AEB6BC11F}"/>
  </bookViews>
  <sheets>
    <sheet name="Forecast Model" sheetId="1" r:id="rId1"/>
    <sheet name="Dashboard" sheetId="2" r:id="rId2"/>
  </sheets>
  <definedNames>
    <definedName name="_xlnm.Print_Area" localSheetId="1">Dashboard!$A$1:$W$80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2" i="2"/>
  <c r="F71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2" i="1"/>
  <c r="F73" i="1"/>
  <c r="F77" i="1"/>
  <c r="F75" i="1"/>
  <c r="F76" i="1"/>
  <c r="F74" i="1"/>
  <c r="F72" i="1"/>
  <c r="G73" i="1" l="1"/>
  <c r="D72" i="1"/>
  <c r="D74" i="1"/>
  <c r="G76" i="1"/>
  <c r="D77" i="1"/>
  <c r="D73" i="1"/>
  <c r="G75" i="1"/>
  <c r="D76" i="1"/>
  <c r="H76" i="1" s="1"/>
  <c r="G72" i="1"/>
  <c r="G74" i="1"/>
  <c r="D75" i="1"/>
  <c r="G77" i="1"/>
  <c r="H77" i="1" l="1"/>
  <c r="H74" i="1"/>
  <c r="I76" i="1"/>
  <c r="H75" i="1"/>
  <c r="I77" i="1"/>
  <c r="H73" i="1"/>
  <c r="I75" i="1"/>
  <c r="H72" i="1"/>
  <c r="I72" i="1"/>
  <c r="I74" i="1"/>
  <c r="I73" i="1"/>
</calcChain>
</file>

<file path=xl/sharedStrings.xml><?xml version="1.0" encoding="utf-8"?>
<sst xmlns="http://schemas.openxmlformats.org/spreadsheetml/2006/main" count="13" uniqueCount="13">
  <si>
    <t>Year</t>
  </si>
  <si>
    <t>Month</t>
  </si>
  <si>
    <t xml:space="preserve"> Revenue</t>
  </si>
  <si>
    <t xml:space="preserve"> Profit</t>
  </si>
  <si>
    <t>Timeline</t>
  </si>
  <si>
    <t>MoM Growth</t>
  </si>
  <si>
    <t>3M Moving Avg</t>
  </si>
  <si>
    <t>Forecasted Revenue</t>
  </si>
  <si>
    <t xml:space="preserve"> Actual Revenue</t>
  </si>
  <si>
    <t>Avg. Monthly Growth %:</t>
  </si>
  <si>
    <t>Next Month Forecast(Nov 2019):</t>
  </si>
  <si>
    <t>Forecasting Model Used:</t>
  </si>
  <si>
    <t>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</si>
</sst>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8" formatCode="0.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9" fontId="0" fillId="0" borderId="0" xfId="2" applyFont="1"/>
    <xf numFmtId="14" fontId="2" fillId="0" borderId="0" xfId="0" applyNumberFormat="1" applyFont="1"/>
    <xf numFmtId="164" fontId="2" fillId="0" borderId="0" xfId="1" applyNumberFormat="1" applyFont="1"/>
    <xf numFmtId="9" fontId="2" fillId="0" borderId="0" xfId="2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68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  Historical Revenue vs. 6-Month Forecast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'Forecast Model'!$D$1</c:f>
              <c:strCache>
                <c:ptCount val="1"/>
                <c:pt idx="0">
                  <c:v>  Revenue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'Forecast Model'!$C$2:$C$77</c:f>
              <c:numCache>
                <c:formatCode>m/d/yyyy</c:formatCode>
                <c:ptCount val="7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</c:numCache>
            </c:numRef>
          </c:xVal>
          <c:yVal>
            <c:numRef>
              <c:f>'Forecast Model'!$D$2:$D$77</c:f>
              <c:numCache>
                <c:formatCode>_(* #,##0_);_(* \(#,##0\);_(* "-"??_);_(@_)</c:formatCode>
                <c:ptCount val="76"/>
                <c:pt idx="0">
                  <c:v>270166.5</c:v>
                </c:pt>
                <c:pt idx="1">
                  <c:v>296170.5</c:v>
                </c:pt>
                <c:pt idx="2">
                  <c:v>241008</c:v>
                </c:pt>
                <c:pt idx="3">
                  <c:v>213588.75</c:v>
                </c:pt>
                <c:pt idx="4">
                  <c:v>225945.45</c:v>
                </c:pt>
                <c:pt idx="5">
                  <c:v>208530.75</c:v>
                </c:pt>
                <c:pt idx="6">
                  <c:v>199855.5</c:v>
                </c:pt>
                <c:pt idx="7">
                  <c:v>217878</c:v>
                </c:pt>
                <c:pt idx="8">
                  <c:v>270689.09999999998</c:v>
                </c:pt>
                <c:pt idx="9">
                  <c:v>312299.35312500002</c:v>
                </c:pt>
                <c:pt idx="10">
                  <c:v>265596</c:v>
                </c:pt>
                <c:pt idx="11">
                  <c:v>314022.75</c:v>
                </c:pt>
                <c:pt idx="12">
                  <c:v>323662.35000000003</c:v>
                </c:pt>
                <c:pt idx="13">
                  <c:v>274729.8</c:v>
                </c:pt>
                <c:pt idx="14">
                  <c:v>292361.39999999997</c:v>
                </c:pt>
                <c:pt idx="15">
                  <c:v>258582.75</c:v>
                </c:pt>
                <c:pt idx="16">
                  <c:v>246686.55000000002</c:v>
                </c:pt>
                <c:pt idx="17">
                  <c:v>251134.94999999998</c:v>
                </c:pt>
                <c:pt idx="18">
                  <c:v>228457.2</c:v>
                </c:pt>
                <c:pt idx="19">
                  <c:v>248939.55</c:v>
                </c:pt>
                <c:pt idx="20">
                  <c:v>251905.05000000002</c:v>
                </c:pt>
                <c:pt idx="21">
                  <c:v>379436.39999999997</c:v>
                </c:pt>
                <c:pt idx="22">
                  <c:v>316033.2</c:v>
                </c:pt>
                <c:pt idx="23">
                  <c:v>340924.49999999994</c:v>
                </c:pt>
                <c:pt idx="24">
                  <c:v>367706.4</c:v>
                </c:pt>
                <c:pt idx="25">
                  <c:v>334860</c:v>
                </c:pt>
                <c:pt idx="26">
                  <c:v>335275.34999999998</c:v>
                </c:pt>
                <c:pt idx="27">
                  <c:v>322135.95</c:v>
                </c:pt>
                <c:pt idx="28">
                  <c:v>293553.15000000002</c:v>
                </c:pt>
                <c:pt idx="29">
                  <c:v>258709.65</c:v>
                </c:pt>
                <c:pt idx="30">
                  <c:v>239945.89999994999</c:v>
                </c:pt>
                <c:pt idx="31">
                  <c:v>245008.25000099998</c:v>
                </c:pt>
                <c:pt idx="32">
                  <c:v>307481.55000000005</c:v>
                </c:pt>
                <c:pt idx="33">
                  <c:v>398308.65</c:v>
                </c:pt>
                <c:pt idx="34">
                  <c:v>291389.90000055003</c:v>
                </c:pt>
                <c:pt idx="35">
                  <c:v>390864.14999954996</c:v>
                </c:pt>
                <c:pt idx="36">
                  <c:v>404939.56249784998</c:v>
                </c:pt>
                <c:pt idx="37">
                  <c:v>217120.73749815</c:v>
                </c:pt>
                <c:pt idx="38">
                  <c:v>206528.25000000003</c:v>
                </c:pt>
                <c:pt idx="39">
                  <c:v>201270</c:v>
                </c:pt>
                <c:pt idx="40">
                  <c:v>205422.75</c:v>
                </c:pt>
                <c:pt idx="41">
                  <c:v>196040.4</c:v>
                </c:pt>
                <c:pt idx="42">
                  <c:v>187672.65000000002</c:v>
                </c:pt>
                <c:pt idx="43">
                  <c:v>195363</c:v>
                </c:pt>
                <c:pt idx="44">
                  <c:v>249126.15</c:v>
                </c:pt>
                <c:pt idx="45">
                  <c:v>307519.05000000005</c:v>
                </c:pt>
                <c:pt idx="46">
                  <c:v>255836.84999999998</c:v>
                </c:pt>
                <c:pt idx="47">
                  <c:v>283065.45</c:v>
                </c:pt>
                <c:pt idx="48">
                  <c:v>297855.15000000002</c:v>
                </c:pt>
                <c:pt idx="49">
                  <c:v>326174.69999999995</c:v>
                </c:pt>
                <c:pt idx="50">
                  <c:v>323527.04999999993</c:v>
                </c:pt>
                <c:pt idx="51">
                  <c:v>284209.5</c:v>
                </c:pt>
                <c:pt idx="52">
                  <c:v>247519.5</c:v>
                </c:pt>
                <c:pt idx="53">
                  <c:v>212152.35</c:v>
                </c:pt>
                <c:pt idx="54">
                  <c:v>234521.84999999998</c:v>
                </c:pt>
                <c:pt idx="55">
                  <c:v>241786.05</c:v>
                </c:pt>
                <c:pt idx="56">
                  <c:v>297206.09999999998</c:v>
                </c:pt>
                <c:pt idx="57">
                  <c:v>329300.25</c:v>
                </c:pt>
                <c:pt idx="58">
                  <c:v>301301.55000000005</c:v>
                </c:pt>
                <c:pt idx="59">
                  <c:v>337130.10000000003</c:v>
                </c:pt>
                <c:pt idx="60">
                  <c:v>431273.7</c:v>
                </c:pt>
                <c:pt idx="61">
                  <c:v>291629.55</c:v>
                </c:pt>
                <c:pt idx="62">
                  <c:v>305840.7</c:v>
                </c:pt>
                <c:pt idx="63">
                  <c:v>257520.75</c:v>
                </c:pt>
                <c:pt idx="64">
                  <c:v>269767.7500005</c:v>
                </c:pt>
                <c:pt idx="65">
                  <c:v>222361.05000000002</c:v>
                </c:pt>
                <c:pt idx="66">
                  <c:v>223322.40000000002</c:v>
                </c:pt>
                <c:pt idx="67">
                  <c:v>206666.84999999995</c:v>
                </c:pt>
                <c:pt idx="68">
                  <c:v>273720.55000004999</c:v>
                </c:pt>
                <c:pt idx="69">
                  <c:v>80790</c:v>
                </c:pt>
                <c:pt idx="70">
                  <c:v>269392.75284164993</c:v>
                </c:pt>
                <c:pt idx="71">
                  <c:v>269280.99718940537</c:v>
                </c:pt>
                <c:pt idx="72">
                  <c:v>269165.51634875272</c:v>
                </c:pt>
                <c:pt idx="73">
                  <c:v>269050.03550810006</c:v>
                </c:pt>
                <c:pt idx="74">
                  <c:v>268942.00504426361</c:v>
                </c:pt>
                <c:pt idx="75">
                  <c:v>268826.52420361096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0-4C6D-BEA7-F9D622F7B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54032"/>
        <c:axId val="863936272"/>
      </c:scatterChart>
      <c:valAx>
        <c:axId val="86395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36272"/>
        <c:crosses val="autoZero"/>
        <c:crossBetween val="midCat"/>
      </c:valAx>
      <c:valAx>
        <c:axId val="86393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5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Forecast Analysis</a:t>
            </a:r>
            <a:r>
              <a:rPr lang="en-US" b="0" baseline="0"/>
              <a:t>: </a:t>
            </a:r>
            <a:r>
              <a:rPr lang="en-US" b="1" baseline="0"/>
              <a:t>Historical vs. Predicted Trends </a:t>
            </a:r>
            <a:endParaRPr lang="en-US" b="1"/>
          </a:p>
        </c:rich>
      </c:tx>
      <c:layout>
        <c:manualLayout>
          <c:xMode val="edge"/>
          <c:yMode val="edge"/>
          <c:x val="0.18566666666666667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Model'!$E$1</c:f>
              <c:strCache>
                <c:ptCount val="1"/>
                <c:pt idx="0">
                  <c:v>  Actual 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Model'!$C$2:$C$77</c:f>
              <c:numCache>
                <c:formatCode>m/d/yyyy</c:formatCode>
                <c:ptCount val="7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</c:numCache>
            </c:numRef>
          </c:cat>
          <c:val>
            <c:numRef>
              <c:f>'Forecast Model'!$E$2:$E$77</c:f>
              <c:numCache>
                <c:formatCode>_(* #,##0_);_(* \(#,##0\);_(* "-"??_);_(@_)</c:formatCode>
                <c:ptCount val="76"/>
                <c:pt idx="0">
                  <c:v>270166.5</c:v>
                </c:pt>
                <c:pt idx="1">
                  <c:v>296170.5</c:v>
                </c:pt>
                <c:pt idx="2">
                  <c:v>241008</c:v>
                </c:pt>
                <c:pt idx="3">
                  <c:v>213588.75</c:v>
                </c:pt>
                <c:pt idx="4">
                  <c:v>225945.45</c:v>
                </c:pt>
                <c:pt idx="5">
                  <c:v>208530.75</c:v>
                </c:pt>
                <c:pt idx="6">
                  <c:v>199855.5</c:v>
                </c:pt>
                <c:pt idx="7">
                  <c:v>217878</c:v>
                </c:pt>
                <c:pt idx="8">
                  <c:v>270689.09999999998</c:v>
                </c:pt>
                <c:pt idx="9">
                  <c:v>312299.35312500002</c:v>
                </c:pt>
                <c:pt idx="10">
                  <c:v>265596</c:v>
                </c:pt>
                <c:pt idx="11">
                  <c:v>314022.75</c:v>
                </c:pt>
                <c:pt idx="12">
                  <c:v>323662.35000000003</c:v>
                </c:pt>
                <c:pt idx="13">
                  <c:v>274729.8</c:v>
                </c:pt>
                <c:pt idx="14">
                  <c:v>292361.39999999997</c:v>
                </c:pt>
                <c:pt idx="15">
                  <c:v>258582.75</c:v>
                </c:pt>
                <c:pt idx="16">
                  <c:v>246686.55000000002</c:v>
                </c:pt>
                <c:pt idx="17">
                  <c:v>251134.94999999998</c:v>
                </c:pt>
                <c:pt idx="18">
                  <c:v>228457.2</c:v>
                </c:pt>
                <c:pt idx="19">
                  <c:v>248939.55</c:v>
                </c:pt>
                <c:pt idx="20">
                  <c:v>251905.05000000002</c:v>
                </c:pt>
                <c:pt idx="21">
                  <c:v>379436.39999999997</c:v>
                </c:pt>
                <c:pt idx="22">
                  <c:v>316033.2</c:v>
                </c:pt>
                <c:pt idx="23">
                  <c:v>340924.49999999994</c:v>
                </c:pt>
                <c:pt idx="24">
                  <c:v>367706.4</c:v>
                </c:pt>
                <c:pt idx="25">
                  <c:v>334860</c:v>
                </c:pt>
                <c:pt idx="26">
                  <c:v>335275.34999999998</c:v>
                </c:pt>
                <c:pt idx="27">
                  <c:v>322135.95</c:v>
                </c:pt>
                <c:pt idx="28">
                  <c:v>293553.15000000002</c:v>
                </c:pt>
                <c:pt idx="29">
                  <c:v>258709.65</c:v>
                </c:pt>
                <c:pt idx="30">
                  <c:v>239945.89999994999</c:v>
                </c:pt>
                <c:pt idx="31">
                  <c:v>245008.25000099998</c:v>
                </c:pt>
                <c:pt idx="32">
                  <c:v>307481.55000000005</c:v>
                </c:pt>
                <c:pt idx="33">
                  <c:v>398308.65</c:v>
                </c:pt>
                <c:pt idx="34">
                  <c:v>291389.90000055003</c:v>
                </c:pt>
                <c:pt idx="35">
                  <c:v>390864.14999954996</c:v>
                </c:pt>
                <c:pt idx="36">
                  <c:v>404939.56249784998</c:v>
                </c:pt>
                <c:pt idx="37">
                  <c:v>217120.73749815</c:v>
                </c:pt>
                <c:pt idx="38">
                  <c:v>206528.25000000003</c:v>
                </c:pt>
                <c:pt idx="39">
                  <c:v>201270</c:v>
                </c:pt>
                <c:pt idx="40">
                  <c:v>205422.75</c:v>
                </c:pt>
                <c:pt idx="41">
                  <c:v>196040.4</c:v>
                </c:pt>
                <c:pt idx="42">
                  <c:v>187672.65000000002</c:v>
                </c:pt>
                <c:pt idx="43">
                  <c:v>195363</c:v>
                </c:pt>
                <c:pt idx="44">
                  <c:v>249126.15</c:v>
                </c:pt>
                <c:pt idx="45">
                  <c:v>307519.05000000005</c:v>
                </c:pt>
                <c:pt idx="46">
                  <c:v>255836.84999999998</c:v>
                </c:pt>
                <c:pt idx="47">
                  <c:v>283065.45</c:v>
                </c:pt>
                <c:pt idx="48">
                  <c:v>297855.15000000002</c:v>
                </c:pt>
                <c:pt idx="49">
                  <c:v>326174.69999999995</c:v>
                </c:pt>
                <c:pt idx="50">
                  <c:v>323527.04999999993</c:v>
                </c:pt>
                <c:pt idx="51">
                  <c:v>284209.5</c:v>
                </c:pt>
                <c:pt idx="52">
                  <c:v>247519.5</c:v>
                </c:pt>
                <c:pt idx="53">
                  <c:v>212152.35</c:v>
                </c:pt>
                <c:pt idx="54">
                  <c:v>234521.84999999998</c:v>
                </c:pt>
                <c:pt idx="55">
                  <c:v>241786.05</c:v>
                </c:pt>
                <c:pt idx="56">
                  <c:v>297206.09999999998</c:v>
                </c:pt>
                <c:pt idx="57">
                  <c:v>329300.25</c:v>
                </c:pt>
                <c:pt idx="58">
                  <c:v>301301.55000000005</c:v>
                </c:pt>
                <c:pt idx="59">
                  <c:v>337130.10000000003</c:v>
                </c:pt>
                <c:pt idx="60">
                  <c:v>431273.7</c:v>
                </c:pt>
                <c:pt idx="61">
                  <c:v>291629.55</c:v>
                </c:pt>
                <c:pt idx="62">
                  <c:v>305840.7</c:v>
                </c:pt>
                <c:pt idx="63">
                  <c:v>257520.74999999994</c:v>
                </c:pt>
                <c:pt idx="64">
                  <c:v>269767.7500005</c:v>
                </c:pt>
                <c:pt idx="65">
                  <c:v>222361.05000000002</c:v>
                </c:pt>
                <c:pt idx="66">
                  <c:v>223322.40000000002</c:v>
                </c:pt>
                <c:pt idx="67">
                  <c:v>206666.84999999995</c:v>
                </c:pt>
                <c:pt idx="68">
                  <c:v>273720.55000004999</c:v>
                </c:pt>
                <c:pt idx="69">
                  <c:v>80790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B-45DF-B474-402E2154FDE4}"/>
            </c:ext>
          </c:extLst>
        </c:ser>
        <c:ser>
          <c:idx val="1"/>
          <c:order val="1"/>
          <c:tx>
            <c:strRef>
              <c:f>'Forecast Model'!$F$1</c:f>
              <c:strCache>
                <c:ptCount val="1"/>
                <c:pt idx="0">
                  <c:v> Forecasted Revenue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'Forecast Model'!$C$2:$C$77</c:f>
              <c:numCache>
                <c:formatCode>m/d/yyyy</c:formatCode>
                <c:ptCount val="76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</c:numCache>
            </c:numRef>
          </c:cat>
          <c:val>
            <c:numRef>
              <c:f>'Forecast Model'!$F$2:$F$77</c:f>
              <c:numCache>
                <c:formatCode>_(* #,##0_);_(* \(#,##0\);_(* "-"??_);_(@_)</c:formatCode>
                <c:ptCount val="76"/>
                <c:pt idx="0">
                  <c:v>270166.5</c:v>
                </c:pt>
                <c:pt idx="1">
                  <c:v>296170.5</c:v>
                </c:pt>
                <c:pt idx="2">
                  <c:v>241008</c:v>
                </c:pt>
                <c:pt idx="3">
                  <c:v>213588.75</c:v>
                </c:pt>
                <c:pt idx="4">
                  <c:v>225945.45</c:v>
                </c:pt>
                <c:pt idx="5">
                  <c:v>208530.75</c:v>
                </c:pt>
                <c:pt idx="6">
                  <c:v>199855.5</c:v>
                </c:pt>
                <c:pt idx="7">
                  <c:v>217878</c:v>
                </c:pt>
                <c:pt idx="8">
                  <c:v>270689.09999999998</c:v>
                </c:pt>
                <c:pt idx="9">
                  <c:v>312299.35312500002</c:v>
                </c:pt>
                <c:pt idx="10">
                  <c:v>265596</c:v>
                </c:pt>
                <c:pt idx="11">
                  <c:v>314022.75</c:v>
                </c:pt>
                <c:pt idx="12">
                  <c:v>323662.35000000003</c:v>
                </c:pt>
                <c:pt idx="13">
                  <c:v>274729.8</c:v>
                </c:pt>
                <c:pt idx="14">
                  <c:v>292361.39999999997</c:v>
                </c:pt>
                <c:pt idx="15">
                  <c:v>258582.75</c:v>
                </c:pt>
                <c:pt idx="16">
                  <c:v>246686.55000000002</c:v>
                </c:pt>
                <c:pt idx="17">
                  <c:v>251134.94999999998</c:v>
                </c:pt>
                <c:pt idx="18">
                  <c:v>228457.2</c:v>
                </c:pt>
                <c:pt idx="19">
                  <c:v>248939.55</c:v>
                </c:pt>
                <c:pt idx="20">
                  <c:v>251905.05000000002</c:v>
                </c:pt>
                <c:pt idx="21">
                  <c:v>379436.39999999997</c:v>
                </c:pt>
                <c:pt idx="22">
                  <c:v>316033.2</c:v>
                </c:pt>
                <c:pt idx="23">
                  <c:v>340924.49999999994</c:v>
                </c:pt>
                <c:pt idx="24">
                  <c:v>367706.4</c:v>
                </c:pt>
                <c:pt idx="25">
                  <c:v>334860</c:v>
                </c:pt>
                <c:pt idx="26">
                  <c:v>335275.34999999998</c:v>
                </c:pt>
                <c:pt idx="27">
                  <c:v>322135.95</c:v>
                </c:pt>
                <c:pt idx="28">
                  <c:v>293553.15000000002</c:v>
                </c:pt>
                <c:pt idx="29">
                  <c:v>258709.65</c:v>
                </c:pt>
                <c:pt idx="30">
                  <c:v>239945.89999994999</c:v>
                </c:pt>
                <c:pt idx="31">
                  <c:v>245008.25000099998</c:v>
                </c:pt>
                <c:pt idx="32">
                  <c:v>307481.55000000005</c:v>
                </c:pt>
                <c:pt idx="33">
                  <c:v>398308.65</c:v>
                </c:pt>
                <c:pt idx="34">
                  <c:v>291389.90000055003</c:v>
                </c:pt>
                <c:pt idx="35">
                  <c:v>390864.14999954996</c:v>
                </c:pt>
                <c:pt idx="36">
                  <c:v>404939.56249784998</c:v>
                </c:pt>
                <c:pt idx="37">
                  <c:v>217120.73749815</c:v>
                </c:pt>
                <c:pt idx="38">
                  <c:v>206528.25000000003</c:v>
                </c:pt>
                <c:pt idx="39">
                  <c:v>201270</c:v>
                </c:pt>
                <c:pt idx="40">
                  <c:v>205422.75</c:v>
                </c:pt>
                <c:pt idx="41">
                  <c:v>196040.4</c:v>
                </c:pt>
                <c:pt idx="42">
                  <c:v>187672.65000000002</c:v>
                </c:pt>
                <c:pt idx="43">
                  <c:v>195363</c:v>
                </c:pt>
                <c:pt idx="44">
                  <c:v>249126.15</c:v>
                </c:pt>
                <c:pt idx="45">
                  <c:v>307519.05000000005</c:v>
                </c:pt>
                <c:pt idx="46">
                  <c:v>255836.84999999998</c:v>
                </c:pt>
                <c:pt idx="47">
                  <c:v>283065.45</c:v>
                </c:pt>
                <c:pt idx="48">
                  <c:v>297855.15000000002</c:v>
                </c:pt>
                <c:pt idx="49">
                  <c:v>326174.69999999995</c:v>
                </c:pt>
                <c:pt idx="50">
                  <c:v>323527.04999999993</c:v>
                </c:pt>
                <c:pt idx="51">
                  <c:v>284209.5</c:v>
                </c:pt>
                <c:pt idx="52">
                  <c:v>247519.5</c:v>
                </c:pt>
                <c:pt idx="53">
                  <c:v>212152.35</c:v>
                </c:pt>
                <c:pt idx="54">
                  <c:v>234521.84999999998</c:v>
                </c:pt>
                <c:pt idx="55">
                  <c:v>241786.05</c:v>
                </c:pt>
                <c:pt idx="56">
                  <c:v>297206.09999999998</c:v>
                </c:pt>
                <c:pt idx="57">
                  <c:v>329300.25</c:v>
                </c:pt>
                <c:pt idx="58">
                  <c:v>301301.55000000005</c:v>
                </c:pt>
                <c:pt idx="59">
                  <c:v>337130.10000000003</c:v>
                </c:pt>
                <c:pt idx="60">
                  <c:v>431273.7</c:v>
                </c:pt>
                <c:pt idx="61">
                  <c:v>291629.55</c:v>
                </c:pt>
                <c:pt idx="62">
                  <c:v>305840.7</c:v>
                </c:pt>
                <c:pt idx="63">
                  <c:v>257520.74999999994</c:v>
                </c:pt>
                <c:pt idx="64">
                  <c:v>269767.7500005</c:v>
                </c:pt>
                <c:pt idx="65">
                  <c:v>222361.05000000002</c:v>
                </c:pt>
                <c:pt idx="66">
                  <c:v>223322.40000000002</c:v>
                </c:pt>
                <c:pt idx="67">
                  <c:v>206666.84999999995</c:v>
                </c:pt>
                <c:pt idx="68">
                  <c:v>273720.55000004999</c:v>
                </c:pt>
                <c:pt idx="69">
                  <c:v>80790</c:v>
                </c:pt>
                <c:pt idx="70">
                  <c:v>217898.22884084744</c:v>
                </c:pt>
                <c:pt idx="71">
                  <c:v>276094.98068784387</c:v>
                </c:pt>
                <c:pt idx="72">
                  <c:v>293042.69164455275</c:v>
                </c:pt>
                <c:pt idx="73">
                  <c:v>203704.29965322194</c:v>
                </c:pt>
                <c:pt idx="74">
                  <c:v>205702.63299669087</c:v>
                </c:pt>
                <c:pt idx="75">
                  <c:v>188923.58466273869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BB-45DF-B474-402E2154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5882879"/>
        <c:axId val="235880479"/>
      </c:lineChart>
      <c:dateAx>
        <c:axId val="2358828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80479"/>
        <c:crosses val="autoZero"/>
        <c:auto val="1"/>
        <c:lblOffset val="100"/>
        <c:baseTimeUnit val="months"/>
      </c:dateAx>
      <c:valAx>
        <c:axId val="2358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8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</xdr:colOff>
      <xdr:row>0</xdr:row>
      <xdr:rowOff>0</xdr:rowOff>
    </xdr:from>
    <xdr:to>
      <xdr:col>18</xdr:col>
      <xdr:colOff>590549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D87FC-C9B8-14CB-855D-3BE5DEA86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0</xdr:row>
      <xdr:rowOff>31750</xdr:rowOff>
    </xdr:from>
    <xdr:to>
      <xdr:col>14</xdr:col>
      <xdr:colOff>603250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AEA28E-9AB4-4580-A72A-7691C61E8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6350</xdr:colOff>
      <xdr:row>0</xdr:row>
      <xdr:rowOff>63500</xdr:rowOff>
    </xdr:from>
    <xdr:ext cx="3416300" cy="18145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D07216-77F9-4B91-BFD7-3EB801B2ABFD}"/>
            </a:ext>
          </a:extLst>
        </xdr:cNvPr>
        <xdr:cNvSpPr txBox="1"/>
      </xdr:nvSpPr>
      <xdr:spPr>
        <a:xfrm>
          <a:off x="10464800" y="63500"/>
          <a:ext cx="3416300" cy="1814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&gt;PROJECTED OUTLOOK(H1 2020)</a:t>
          </a:r>
          <a:br>
            <a:rPr lang="en-US" sz="1100"/>
          </a:br>
          <a:r>
            <a:rPr lang="en-US" sz="1100" b="1" baseline="0"/>
            <a:t> Revenue Range: </a:t>
          </a:r>
          <a:r>
            <a:rPr lang="en-US" sz="1100" b="0" baseline="0"/>
            <a:t>Expected to stabilize between $260k - $280k</a:t>
          </a:r>
          <a:br>
            <a:rPr lang="en-US" sz="1100" b="0" baseline="0"/>
          </a:br>
          <a:r>
            <a:rPr lang="en-US" sz="1100" b="1" baseline="0"/>
            <a:t>MarketTrend:</a:t>
          </a:r>
          <a:r>
            <a:rPr lang="en-US" sz="1100" b="0" baseline="0"/>
            <a:t> Overall trend indicates stable growth with minor seasonal fluctuations identified via </a:t>
          </a:r>
          <a:r>
            <a:rPr lang="en-US" sz="1100" b="1" baseline="0"/>
            <a:t>ETS modelling </a:t>
          </a:r>
          <a:br>
            <a:rPr lang="en-US" sz="1100" b="0" baseline="0"/>
          </a:br>
          <a:r>
            <a:rPr lang="en-US" sz="1100" b="1" baseline="0"/>
            <a:t>2019 Anomaly:</a:t>
          </a:r>
          <a:r>
            <a:rPr lang="en-US" sz="1100" b="0" baseline="0"/>
            <a:t> The sudden dip in late 2019 suggests a market disruption; the forecast accounts for this as an outlier.</a:t>
          </a:r>
          <a:br>
            <a:rPr lang="en-US" sz="1100" b="0" baseline="0"/>
          </a:br>
          <a:r>
            <a:rPr lang="en-US" sz="1100" b="1" baseline="0"/>
            <a:t>Confidence:</a:t>
          </a:r>
          <a:r>
            <a:rPr lang="en-US" sz="1100" b="0" baseline="0"/>
            <a:t> High, based on 5 years of consistent historical patterns.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F030-C2BD-46D1-B10E-02A74A4E35FE}">
  <dimension ref="A1:I77"/>
  <sheetViews>
    <sheetView showGridLines="0" topLeftCell="A57" workbookViewId="0">
      <selection activeCell="D77" sqref="D77"/>
    </sheetView>
  </sheetViews>
  <sheetFormatPr defaultRowHeight="14.5" x14ac:dyDescent="0.35"/>
  <cols>
    <col min="1" max="1" width="10.6328125" bestFit="1" customWidth="1"/>
    <col min="2" max="2" width="6.453125" bestFit="1" customWidth="1"/>
    <col min="3" max="3" width="9.90625" customWidth="1"/>
    <col min="4" max="6" width="19.1796875" style="2" bestFit="1" customWidth="1"/>
    <col min="7" max="7" width="12.54296875" style="2" bestFit="1" customWidth="1"/>
    <col min="8" max="8" width="12.632812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4</v>
      </c>
      <c r="D1" s="2" t="s">
        <v>2</v>
      </c>
      <c r="E1" s="2" t="s">
        <v>8</v>
      </c>
      <c r="F1" s="2" t="s">
        <v>7</v>
      </c>
      <c r="G1" s="2" t="s">
        <v>3</v>
      </c>
      <c r="H1" t="s">
        <v>5</v>
      </c>
      <c r="I1" t="s">
        <v>6</v>
      </c>
    </row>
    <row r="2" spans="1:9" x14ac:dyDescent="0.35">
      <c r="A2">
        <v>2014</v>
      </c>
      <c r="B2">
        <v>1</v>
      </c>
      <c r="C2" s="1">
        <f>DATE(A2,B2,1)</f>
        <v>41640</v>
      </c>
      <c r="D2" s="2">
        <v>270166.5</v>
      </c>
      <c r="E2" s="2">
        <v>270166.5</v>
      </c>
      <c r="F2" s="2">
        <v>270166.5</v>
      </c>
      <c r="G2" s="2">
        <v>81049.95</v>
      </c>
    </row>
    <row r="3" spans="1:9" x14ac:dyDescent="0.35">
      <c r="A3">
        <v>2014</v>
      </c>
      <c r="B3">
        <v>2</v>
      </c>
      <c r="C3" s="1">
        <f t="shared" ref="C3:C66" si="0">DATE(A3,B3,1)</f>
        <v>41671</v>
      </c>
      <c r="D3" s="2">
        <v>296170.5</v>
      </c>
      <c r="E3" s="2">
        <v>296170.5</v>
      </c>
      <c r="F3" s="2">
        <v>296170.5</v>
      </c>
      <c r="G3" s="2">
        <v>88851.150000000009</v>
      </c>
      <c r="H3" s="3">
        <f>(D3-D2)/D2</f>
        <v>9.6251755861663083E-2</v>
      </c>
    </row>
    <row r="4" spans="1:9" x14ac:dyDescent="0.35">
      <c r="A4">
        <v>2014</v>
      </c>
      <c r="B4">
        <v>3</v>
      </c>
      <c r="C4" s="1">
        <f t="shared" si="0"/>
        <v>41699</v>
      </c>
      <c r="D4" s="2">
        <v>241008</v>
      </c>
      <c r="E4" s="2">
        <v>241008</v>
      </c>
      <c r="F4" s="2">
        <v>241008</v>
      </c>
      <c r="G4" s="2">
        <v>72302.400000000023</v>
      </c>
      <c r="H4" s="3">
        <f t="shared" ref="H4:H67" si="1">(D4-D3)/D3</f>
        <v>-0.1862525133326918</v>
      </c>
      <c r="I4" s="2">
        <f>AVERAGE(D2:D4)</f>
        <v>269115</v>
      </c>
    </row>
    <row r="5" spans="1:9" x14ac:dyDescent="0.35">
      <c r="A5">
        <v>2014</v>
      </c>
      <c r="B5">
        <v>4</v>
      </c>
      <c r="C5" s="1">
        <f t="shared" si="0"/>
        <v>41730</v>
      </c>
      <c r="D5" s="2">
        <v>213588.75</v>
      </c>
      <c r="E5" s="2">
        <v>213588.75</v>
      </c>
      <c r="F5" s="2">
        <v>213588.75</v>
      </c>
      <c r="G5" s="2">
        <v>64076.625</v>
      </c>
      <c r="H5" s="3">
        <f t="shared" si="1"/>
        <v>-0.11376904501095399</v>
      </c>
      <c r="I5" s="2">
        <f t="shared" ref="I5:I68" si="2">AVERAGE(D3:D5)</f>
        <v>250255.75</v>
      </c>
    </row>
    <row r="6" spans="1:9" x14ac:dyDescent="0.35">
      <c r="A6">
        <v>2014</v>
      </c>
      <c r="B6">
        <v>5</v>
      </c>
      <c r="C6" s="1">
        <f t="shared" si="0"/>
        <v>41760</v>
      </c>
      <c r="D6" s="2">
        <v>225945.45</v>
      </c>
      <c r="E6" s="2">
        <v>225945.45</v>
      </c>
      <c r="F6" s="2">
        <v>225945.45</v>
      </c>
      <c r="G6" s="2">
        <v>67783.635000000009</v>
      </c>
      <c r="H6" s="3">
        <f t="shared" si="1"/>
        <v>5.7852766121811249E-2</v>
      </c>
      <c r="I6" s="2">
        <f t="shared" si="2"/>
        <v>226847.4</v>
      </c>
    </row>
    <row r="7" spans="1:9" x14ac:dyDescent="0.35">
      <c r="A7">
        <v>2014</v>
      </c>
      <c r="B7">
        <v>6</v>
      </c>
      <c r="C7" s="1">
        <f t="shared" si="0"/>
        <v>41791</v>
      </c>
      <c r="D7" s="2">
        <v>208530.75</v>
      </c>
      <c r="E7" s="2">
        <v>208530.75</v>
      </c>
      <c r="F7" s="2">
        <v>208530.75</v>
      </c>
      <c r="G7" s="2">
        <v>62559.225000000013</v>
      </c>
      <c r="H7" s="3">
        <f t="shared" si="1"/>
        <v>-7.7074798363941432E-2</v>
      </c>
      <c r="I7" s="2">
        <f t="shared" si="2"/>
        <v>216021.65</v>
      </c>
    </row>
    <row r="8" spans="1:9" x14ac:dyDescent="0.35">
      <c r="A8">
        <v>2014</v>
      </c>
      <c r="B8">
        <v>7</v>
      </c>
      <c r="C8" s="1">
        <f t="shared" si="0"/>
        <v>41821</v>
      </c>
      <c r="D8" s="2">
        <v>199855.5</v>
      </c>
      <c r="E8" s="2">
        <v>199855.5</v>
      </c>
      <c r="F8" s="2">
        <v>199855.5</v>
      </c>
      <c r="G8" s="2">
        <v>59956.650000000023</v>
      </c>
      <c r="H8" s="3">
        <f t="shared" si="1"/>
        <v>-4.1601778155020301E-2</v>
      </c>
      <c r="I8" s="2">
        <f t="shared" si="2"/>
        <v>211443.9</v>
      </c>
    </row>
    <row r="9" spans="1:9" x14ac:dyDescent="0.35">
      <c r="A9">
        <v>2014</v>
      </c>
      <c r="B9">
        <v>8</v>
      </c>
      <c r="C9" s="1">
        <f t="shared" si="0"/>
        <v>41852</v>
      </c>
      <c r="D9" s="2">
        <v>217878</v>
      </c>
      <c r="E9" s="2">
        <v>217878</v>
      </c>
      <c r="F9" s="2">
        <v>217878</v>
      </c>
      <c r="G9" s="2">
        <v>65363.399999999994</v>
      </c>
      <c r="H9" s="3">
        <f t="shared" si="1"/>
        <v>9.0177653354548665E-2</v>
      </c>
      <c r="I9" s="2">
        <f t="shared" si="2"/>
        <v>208754.75</v>
      </c>
    </row>
    <row r="10" spans="1:9" x14ac:dyDescent="0.35">
      <c r="A10">
        <v>2014</v>
      </c>
      <c r="B10">
        <v>9</v>
      </c>
      <c r="C10" s="1">
        <f t="shared" si="0"/>
        <v>41883</v>
      </c>
      <c r="D10" s="2">
        <v>270689.09999999998</v>
      </c>
      <c r="E10" s="2">
        <v>270689.09999999998</v>
      </c>
      <c r="F10" s="2">
        <v>270689.09999999998</v>
      </c>
      <c r="G10" s="2">
        <v>81206.730000000025</v>
      </c>
      <c r="H10" s="3">
        <f t="shared" si="1"/>
        <v>0.24238840084818097</v>
      </c>
      <c r="I10" s="2">
        <f t="shared" si="2"/>
        <v>229474.19999999998</v>
      </c>
    </row>
    <row r="11" spans="1:9" x14ac:dyDescent="0.35">
      <c r="A11">
        <v>2014</v>
      </c>
      <c r="B11">
        <v>10</v>
      </c>
      <c r="C11" s="1">
        <f t="shared" si="0"/>
        <v>41913</v>
      </c>
      <c r="D11" s="2">
        <v>312299.35312500002</v>
      </c>
      <c r="E11" s="2">
        <v>312299.35312500002</v>
      </c>
      <c r="F11" s="2">
        <v>312299.35312500002</v>
      </c>
      <c r="G11" s="2">
        <v>93689.805937500001</v>
      </c>
      <c r="H11" s="3">
        <f t="shared" si="1"/>
        <v>0.15371972172134027</v>
      </c>
      <c r="I11" s="2">
        <f t="shared" si="2"/>
        <v>266955.484375</v>
      </c>
    </row>
    <row r="12" spans="1:9" x14ac:dyDescent="0.35">
      <c r="A12">
        <v>2014</v>
      </c>
      <c r="B12">
        <v>11</v>
      </c>
      <c r="C12" s="1">
        <f t="shared" si="0"/>
        <v>41944</v>
      </c>
      <c r="D12" s="2">
        <v>265596</v>
      </c>
      <c r="E12" s="2">
        <v>265596</v>
      </c>
      <c r="F12" s="2">
        <v>265596</v>
      </c>
      <c r="G12" s="2">
        <v>79678.799999999974</v>
      </c>
      <c r="H12" s="3">
        <f t="shared" si="1"/>
        <v>-0.14954674948143962</v>
      </c>
      <c r="I12" s="2">
        <f t="shared" si="2"/>
        <v>282861.484375</v>
      </c>
    </row>
    <row r="13" spans="1:9" x14ac:dyDescent="0.35">
      <c r="A13">
        <v>2014</v>
      </c>
      <c r="B13">
        <v>12</v>
      </c>
      <c r="C13" s="1">
        <f t="shared" si="0"/>
        <v>41974</v>
      </c>
      <c r="D13" s="2">
        <v>314022.75</v>
      </c>
      <c r="E13" s="2">
        <v>314022.75</v>
      </c>
      <c r="F13" s="2">
        <v>314022.75</v>
      </c>
      <c r="G13" s="2">
        <v>94206.825000000026</v>
      </c>
      <c r="H13" s="3">
        <f t="shared" si="1"/>
        <v>0.18233237699362942</v>
      </c>
      <c r="I13" s="2">
        <f t="shared" si="2"/>
        <v>297306.03437499999</v>
      </c>
    </row>
    <row r="14" spans="1:9" x14ac:dyDescent="0.35">
      <c r="A14">
        <v>2015</v>
      </c>
      <c r="B14">
        <v>1</v>
      </c>
      <c r="C14" s="1">
        <f t="shared" si="0"/>
        <v>42005</v>
      </c>
      <c r="D14" s="2">
        <v>323662.35000000003</v>
      </c>
      <c r="E14" s="2">
        <v>323662.35000000003</v>
      </c>
      <c r="F14" s="2">
        <v>323662.35000000003</v>
      </c>
      <c r="G14" s="2">
        <v>97098.705000000016</v>
      </c>
      <c r="H14" s="3">
        <f t="shared" si="1"/>
        <v>3.0697138981172652E-2</v>
      </c>
      <c r="I14" s="2">
        <f t="shared" si="2"/>
        <v>301093.7</v>
      </c>
    </row>
    <row r="15" spans="1:9" x14ac:dyDescent="0.35">
      <c r="A15">
        <v>2015</v>
      </c>
      <c r="B15">
        <v>2</v>
      </c>
      <c r="C15" s="1">
        <f t="shared" si="0"/>
        <v>42036</v>
      </c>
      <c r="D15" s="2">
        <v>274729.8</v>
      </c>
      <c r="E15" s="2">
        <v>274729.8</v>
      </c>
      <c r="F15" s="2">
        <v>274729.8</v>
      </c>
      <c r="G15" s="2">
        <v>82418.94</v>
      </c>
      <c r="H15" s="3">
        <f t="shared" si="1"/>
        <v>-0.15118394215453246</v>
      </c>
      <c r="I15" s="2">
        <f t="shared" si="2"/>
        <v>304138.30000000005</v>
      </c>
    </row>
    <row r="16" spans="1:9" x14ac:dyDescent="0.35">
      <c r="A16">
        <v>2015</v>
      </c>
      <c r="B16">
        <v>3</v>
      </c>
      <c r="C16" s="1">
        <f t="shared" si="0"/>
        <v>42064</v>
      </c>
      <c r="D16" s="2">
        <v>292361.39999999997</v>
      </c>
      <c r="E16" s="2">
        <v>292361.39999999997</v>
      </c>
      <c r="F16" s="2">
        <v>292361.39999999997</v>
      </c>
      <c r="G16" s="2">
        <v>87708.42</v>
      </c>
      <c r="H16" s="3">
        <f t="shared" si="1"/>
        <v>6.4177966860529789E-2</v>
      </c>
      <c r="I16" s="2">
        <f t="shared" si="2"/>
        <v>296917.85000000003</v>
      </c>
    </row>
    <row r="17" spans="1:9" x14ac:dyDescent="0.35">
      <c r="A17">
        <v>2015</v>
      </c>
      <c r="B17">
        <v>4</v>
      </c>
      <c r="C17" s="1">
        <f t="shared" si="0"/>
        <v>42095</v>
      </c>
      <c r="D17" s="2">
        <v>258582.75</v>
      </c>
      <c r="E17" s="2">
        <v>258582.75</v>
      </c>
      <c r="F17" s="2">
        <v>258582.75</v>
      </c>
      <c r="G17" s="2">
        <v>77574.825000000012</v>
      </c>
      <c r="H17" s="3">
        <f t="shared" si="1"/>
        <v>-0.11553731101301325</v>
      </c>
      <c r="I17" s="2">
        <f t="shared" si="2"/>
        <v>275224.64999999997</v>
      </c>
    </row>
    <row r="18" spans="1:9" x14ac:dyDescent="0.35">
      <c r="A18">
        <v>2015</v>
      </c>
      <c r="B18">
        <v>5</v>
      </c>
      <c r="C18" s="1">
        <f t="shared" si="0"/>
        <v>42125</v>
      </c>
      <c r="D18" s="2">
        <v>246686.55000000002</v>
      </c>
      <c r="E18" s="2">
        <v>246686.55000000002</v>
      </c>
      <c r="F18" s="2">
        <v>246686.55000000002</v>
      </c>
      <c r="G18" s="2">
        <v>74005.964999999997</v>
      </c>
      <c r="H18" s="3">
        <f t="shared" si="1"/>
        <v>-4.6005388990564847E-2</v>
      </c>
      <c r="I18" s="2">
        <f t="shared" si="2"/>
        <v>265876.89999999997</v>
      </c>
    </row>
    <row r="19" spans="1:9" x14ac:dyDescent="0.35">
      <c r="A19">
        <v>2015</v>
      </c>
      <c r="B19">
        <v>6</v>
      </c>
      <c r="C19" s="1">
        <f t="shared" si="0"/>
        <v>42156</v>
      </c>
      <c r="D19" s="2">
        <v>251134.94999999998</v>
      </c>
      <c r="E19" s="2">
        <v>251134.94999999998</v>
      </c>
      <c r="F19" s="2">
        <v>251134.94999999998</v>
      </c>
      <c r="G19" s="2">
        <v>75340.485000000001</v>
      </c>
      <c r="H19" s="3">
        <f t="shared" si="1"/>
        <v>1.803260048024493E-2</v>
      </c>
      <c r="I19" s="2">
        <f t="shared" si="2"/>
        <v>252134.75</v>
      </c>
    </row>
    <row r="20" spans="1:9" x14ac:dyDescent="0.35">
      <c r="A20">
        <v>2015</v>
      </c>
      <c r="B20">
        <v>7</v>
      </c>
      <c r="C20" s="1">
        <f t="shared" si="0"/>
        <v>42186</v>
      </c>
      <c r="D20" s="2">
        <v>228457.2</v>
      </c>
      <c r="E20" s="2">
        <v>228457.2</v>
      </c>
      <c r="F20" s="2">
        <v>228457.2</v>
      </c>
      <c r="G20" s="2">
        <v>68537.159999999989</v>
      </c>
      <c r="H20" s="3">
        <f t="shared" si="1"/>
        <v>-9.0301051287365514E-2</v>
      </c>
      <c r="I20" s="2">
        <f t="shared" si="2"/>
        <v>242092.9</v>
      </c>
    </row>
    <row r="21" spans="1:9" x14ac:dyDescent="0.35">
      <c r="A21">
        <v>2015</v>
      </c>
      <c r="B21">
        <v>8</v>
      </c>
      <c r="C21" s="1">
        <f t="shared" si="0"/>
        <v>42217</v>
      </c>
      <c r="D21" s="2">
        <v>248939.55</v>
      </c>
      <c r="E21" s="2">
        <v>248939.55</v>
      </c>
      <c r="F21" s="2">
        <v>248939.55</v>
      </c>
      <c r="G21" s="2">
        <v>74681.865000000005</v>
      </c>
      <c r="H21" s="3">
        <f t="shared" si="1"/>
        <v>8.9655086379418006E-2</v>
      </c>
      <c r="I21" s="2">
        <f t="shared" si="2"/>
        <v>242843.9</v>
      </c>
    </row>
    <row r="22" spans="1:9" x14ac:dyDescent="0.35">
      <c r="A22">
        <v>2015</v>
      </c>
      <c r="B22">
        <v>9</v>
      </c>
      <c r="C22" s="1">
        <f t="shared" si="0"/>
        <v>42248</v>
      </c>
      <c r="D22" s="2">
        <v>251905.05000000002</v>
      </c>
      <c r="E22" s="2">
        <v>251905.05000000002</v>
      </c>
      <c r="F22" s="2">
        <v>251905.05000000002</v>
      </c>
      <c r="G22" s="2">
        <v>75571.514999999999</v>
      </c>
      <c r="H22" s="3">
        <f t="shared" si="1"/>
        <v>1.1912530572181196E-2</v>
      </c>
      <c r="I22" s="2">
        <f t="shared" si="2"/>
        <v>243100.6</v>
      </c>
    </row>
    <row r="23" spans="1:9" x14ac:dyDescent="0.35">
      <c r="A23">
        <v>2015</v>
      </c>
      <c r="B23">
        <v>10</v>
      </c>
      <c r="C23" s="1">
        <f t="shared" si="0"/>
        <v>42278</v>
      </c>
      <c r="D23" s="2">
        <v>379436.39999999997</v>
      </c>
      <c r="E23" s="2">
        <v>379436.39999999997</v>
      </c>
      <c r="F23" s="2">
        <v>379436.39999999997</v>
      </c>
      <c r="G23" s="2">
        <v>113830.92000000003</v>
      </c>
      <c r="H23" s="3">
        <f t="shared" si="1"/>
        <v>0.50626754009099828</v>
      </c>
      <c r="I23" s="2">
        <f t="shared" si="2"/>
        <v>293427</v>
      </c>
    </row>
    <row r="24" spans="1:9" x14ac:dyDescent="0.35">
      <c r="A24">
        <v>2015</v>
      </c>
      <c r="B24">
        <v>11</v>
      </c>
      <c r="C24" s="1">
        <f t="shared" si="0"/>
        <v>42309</v>
      </c>
      <c r="D24" s="2">
        <v>316033.2</v>
      </c>
      <c r="E24" s="2">
        <v>316033.2</v>
      </c>
      <c r="F24" s="2">
        <v>316033.2</v>
      </c>
      <c r="G24" s="2">
        <v>94809.960000000036</v>
      </c>
      <c r="H24" s="3">
        <f t="shared" si="1"/>
        <v>-0.16709835956697872</v>
      </c>
      <c r="I24" s="2">
        <f t="shared" si="2"/>
        <v>315791.55</v>
      </c>
    </row>
    <row r="25" spans="1:9" x14ac:dyDescent="0.35">
      <c r="A25">
        <v>2015</v>
      </c>
      <c r="B25">
        <v>12</v>
      </c>
      <c r="C25" s="1">
        <f t="shared" si="0"/>
        <v>42339</v>
      </c>
      <c r="D25" s="2">
        <v>340924.49999999994</v>
      </c>
      <c r="E25" s="2">
        <v>340924.49999999994</v>
      </c>
      <c r="F25" s="2">
        <v>340924.49999999994</v>
      </c>
      <c r="G25" s="2">
        <v>102277.35000000002</v>
      </c>
      <c r="H25" s="3">
        <f t="shared" si="1"/>
        <v>7.8761661749461545E-2</v>
      </c>
      <c r="I25" s="2">
        <f t="shared" si="2"/>
        <v>345464.69999999995</v>
      </c>
    </row>
    <row r="26" spans="1:9" x14ac:dyDescent="0.35">
      <c r="A26">
        <v>2016</v>
      </c>
      <c r="B26">
        <v>1</v>
      </c>
      <c r="C26" s="1">
        <f t="shared" si="0"/>
        <v>42370</v>
      </c>
      <c r="D26" s="2">
        <v>367706.4</v>
      </c>
      <c r="E26" s="2">
        <v>367706.4</v>
      </c>
      <c r="F26" s="2">
        <v>367706.4</v>
      </c>
      <c r="G26" s="2">
        <v>110311.92000000001</v>
      </c>
      <c r="H26" s="3">
        <f t="shared" si="1"/>
        <v>7.8556689237646707E-2</v>
      </c>
      <c r="I26" s="2">
        <f t="shared" si="2"/>
        <v>341554.7</v>
      </c>
    </row>
    <row r="27" spans="1:9" x14ac:dyDescent="0.35">
      <c r="A27">
        <v>2016</v>
      </c>
      <c r="B27">
        <v>2</v>
      </c>
      <c r="C27" s="1">
        <f t="shared" si="0"/>
        <v>42401</v>
      </c>
      <c r="D27" s="2">
        <v>334860</v>
      </c>
      <c r="E27" s="2">
        <v>334860</v>
      </c>
      <c r="F27" s="2">
        <v>334860</v>
      </c>
      <c r="G27" s="2">
        <v>100458.00000000001</v>
      </c>
      <c r="H27" s="3">
        <f t="shared" si="1"/>
        <v>-8.9327789780107233E-2</v>
      </c>
      <c r="I27" s="2">
        <f t="shared" si="2"/>
        <v>347830.3</v>
      </c>
    </row>
    <row r="28" spans="1:9" x14ac:dyDescent="0.35">
      <c r="A28">
        <v>2016</v>
      </c>
      <c r="B28">
        <v>3</v>
      </c>
      <c r="C28" s="1">
        <f t="shared" si="0"/>
        <v>42430</v>
      </c>
      <c r="D28" s="2">
        <v>335275.34999999998</v>
      </c>
      <c r="E28" s="2">
        <v>335275.34999999998</v>
      </c>
      <c r="F28" s="2">
        <v>335275.34999999998</v>
      </c>
      <c r="G28" s="2">
        <v>100582.605</v>
      </c>
      <c r="H28" s="3">
        <f t="shared" si="1"/>
        <v>1.2403691094785185E-3</v>
      </c>
      <c r="I28" s="2">
        <f t="shared" si="2"/>
        <v>345947.25</v>
      </c>
    </row>
    <row r="29" spans="1:9" x14ac:dyDescent="0.35">
      <c r="A29">
        <v>2016</v>
      </c>
      <c r="B29">
        <v>4</v>
      </c>
      <c r="C29" s="1">
        <f t="shared" si="0"/>
        <v>42461</v>
      </c>
      <c r="D29" s="2">
        <v>322135.95</v>
      </c>
      <c r="E29" s="2">
        <v>322135.95</v>
      </c>
      <c r="F29" s="2">
        <v>322135.95</v>
      </c>
      <c r="G29" s="2">
        <v>96640.785000000003</v>
      </c>
      <c r="H29" s="3">
        <f t="shared" si="1"/>
        <v>-3.9189877812371134E-2</v>
      </c>
      <c r="I29" s="2">
        <f t="shared" si="2"/>
        <v>330757.10000000003</v>
      </c>
    </row>
    <row r="30" spans="1:9" x14ac:dyDescent="0.35">
      <c r="A30">
        <v>2016</v>
      </c>
      <c r="B30">
        <v>5</v>
      </c>
      <c r="C30" s="1">
        <f t="shared" si="0"/>
        <v>42491</v>
      </c>
      <c r="D30" s="2">
        <v>293553.15000000002</v>
      </c>
      <c r="E30" s="2">
        <v>293553.15000000002</v>
      </c>
      <c r="F30" s="2">
        <v>293553.15000000002</v>
      </c>
      <c r="G30" s="2">
        <v>88065.944999999992</v>
      </c>
      <c r="H30" s="3">
        <f t="shared" si="1"/>
        <v>-8.8728997803567064E-2</v>
      </c>
      <c r="I30" s="2">
        <f t="shared" si="2"/>
        <v>316988.15000000002</v>
      </c>
    </row>
    <row r="31" spans="1:9" x14ac:dyDescent="0.35">
      <c r="A31">
        <v>2016</v>
      </c>
      <c r="B31">
        <v>6</v>
      </c>
      <c r="C31" s="1">
        <f t="shared" si="0"/>
        <v>42522</v>
      </c>
      <c r="D31" s="2">
        <v>258709.65</v>
      </c>
      <c r="E31" s="2">
        <v>258709.65</v>
      </c>
      <c r="F31" s="2">
        <v>258709.65</v>
      </c>
      <c r="G31" s="2">
        <v>77612.894999999975</v>
      </c>
      <c r="H31" s="3">
        <f t="shared" si="1"/>
        <v>-0.11869571149210978</v>
      </c>
      <c r="I31" s="2">
        <f t="shared" si="2"/>
        <v>291466.25000000006</v>
      </c>
    </row>
    <row r="32" spans="1:9" x14ac:dyDescent="0.35">
      <c r="A32">
        <v>2016</v>
      </c>
      <c r="B32">
        <v>7</v>
      </c>
      <c r="C32" s="1">
        <f t="shared" si="0"/>
        <v>42552</v>
      </c>
      <c r="D32" s="2">
        <v>239945.89999994999</v>
      </c>
      <c r="E32" s="2">
        <v>239945.89999994999</v>
      </c>
      <c r="F32" s="2">
        <v>239945.89999994999</v>
      </c>
      <c r="G32" s="2">
        <v>71983.769999984986</v>
      </c>
      <c r="H32" s="3">
        <f t="shared" si="1"/>
        <v>-7.2528218410291237E-2</v>
      </c>
      <c r="I32" s="2">
        <f t="shared" si="2"/>
        <v>264069.56666665</v>
      </c>
    </row>
    <row r="33" spans="1:9" x14ac:dyDescent="0.35">
      <c r="A33">
        <v>2016</v>
      </c>
      <c r="B33">
        <v>8</v>
      </c>
      <c r="C33" s="1">
        <f t="shared" si="0"/>
        <v>42583</v>
      </c>
      <c r="D33" s="2">
        <v>245008.25000099998</v>
      </c>
      <c r="E33" s="2">
        <v>245008.25000099998</v>
      </c>
      <c r="F33" s="2">
        <v>245008.25000099998</v>
      </c>
      <c r="G33" s="2">
        <v>73502.475000299979</v>
      </c>
      <c r="H33" s="3">
        <f t="shared" si="1"/>
        <v>2.1097880818347136E-2</v>
      </c>
      <c r="I33" s="2">
        <f t="shared" si="2"/>
        <v>247887.93333365</v>
      </c>
    </row>
    <row r="34" spans="1:9" x14ac:dyDescent="0.35">
      <c r="A34">
        <v>2016</v>
      </c>
      <c r="B34">
        <v>9</v>
      </c>
      <c r="C34" s="1">
        <f t="shared" si="0"/>
        <v>42614</v>
      </c>
      <c r="D34" s="2">
        <v>307481.55000000005</v>
      </c>
      <c r="E34" s="2">
        <v>307481.55000000005</v>
      </c>
      <c r="F34" s="2">
        <v>307481.55000000005</v>
      </c>
      <c r="G34" s="2">
        <v>92244.464999999997</v>
      </c>
      <c r="H34" s="3">
        <f t="shared" si="1"/>
        <v>0.25498447500745419</v>
      </c>
      <c r="I34" s="2">
        <f t="shared" si="2"/>
        <v>264145.23333364999</v>
      </c>
    </row>
    <row r="35" spans="1:9" x14ac:dyDescent="0.35">
      <c r="A35">
        <v>2016</v>
      </c>
      <c r="B35">
        <v>10</v>
      </c>
      <c r="C35" s="1">
        <f t="shared" si="0"/>
        <v>42644</v>
      </c>
      <c r="D35" s="2">
        <v>398308.65</v>
      </c>
      <c r="E35" s="2">
        <v>398308.65</v>
      </c>
      <c r="F35" s="2">
        <v>398308.65</v>
      </c>
      <c r="G35" s="2">
        <v>119492.59500000002</v>
      </c>
      <c r="H35" s="3">
        <f t="shared" si="1"/>
        <v>0.29539040635121022</v>
      </c>
      <c r="I35" s="2">
        <f t="shared" si="2"/>
        <v>316932.81666700001</v>
      </c>
    </row>
    <row r="36" spans="1:9" x14ac:dyDescent="0.35">
      <c r="A36">
        <v>2016</v>
      </c>
      <c r="B36">
        <v>11</v>
      </c>
      <c r="C36" s="1">
        <f t="shared" si="0"/>
        <v>42675</v>
      </c>
      <c r="D36" s="2">
        <v>291389.90000055003</v>
      </c>
      <c r="E36" s="2">
        <v>291389.90000055003</v>
      </c>
      <c r="F36" s="2">
        <v>291389.90000055003</v>
      </c>
      <c r="G36" s="2">
        <v>87416.970000164991</v>
      </c>
      <c r="H36" s="3">
        <f t="shared" si="1"/>
        <v>-0.26843190575813503</v>
      </c>
      <c r="I36" s="2">
        <f t="shared" si="2"/>
        <v>332393.36666684999</v>
      </c>
    </row>
    <row r="37" spans="1:9" x14ac:dyDescent="0.35">
      <c r="A37">
        <v>2016</v>
      </c>
      <c r="B37">
        <v>12</v>
      </c>
      <c r="C37" s="1">
        <f t="shared" si="0"/>
        <v>42705</v>
      </c>
      <c r="D37" s="2">
        <v>390864.14999954996</v>
      </c>
      <c r="E37" s="2">
        <v>390864.14999954996</v>
      </c>
      <c r="F37" s="2">
        <v>390864.14999954996</v>
      </c>
      <c r="G37" s="2">
        <v>117259.24499986501</v>
      </c>
      <c r="H37" s="3">
        <f t="shared" si="1"/>
        <v>0.34137851036982464</v>
      </c>
      <c r="I37" s="2">
        <f t="shared" si="2"/>
        <v>360187.56666669995</v>
      </c>
    </row>
    <row r="38" spans="1:9" x14ac:dyDescent="0.35">
      <c r="A38">
        <v>2017</v>
      </c>
      <c r="B38">
        <v>1</v>
      </c>
      <c r="C38" s="1">
        <f t="shared" si="0"/>
        <v>42736</v>
      </c>
      <c r="D38" s="2">
        <v>404939.56249784998</v>
      </c>
      <c r="E38" s="2">
        <v>404939.56249784998</v>
      </c>
      <c r="F38" s="2">
        <v>404939.56249784998</v>
      </c>
      <c r="G38" s="2">
        <v>121481.868749355</v>
      </c>
      <c r="H38" s="3">
        <f t="shared" si="1"/>
        <v>3.6011009191598227E-2</v>
      </c>
      <c r="I38" s="2">
        <f t="shared" si="2"/>
        <v>362397.87083264999</v>
      </c>
    </row>
    <row r="39" spans="1:9" x14ac:dyDescent="0.35">
      <c r="A39">
        <v>2017</v>
      </c>
      <c r="B39">
        <v>2</v>
      </c>
      <c r="C39" s="1">
        <f t="shared" si="0"/>
        <v>42767</v>
      </c>
      <c r="D39" s="2">
        <v>217120.73749815</v>
      </c>
      <c r="E39" s="2">
        <v>217120.73749815</v>
      </c>
      <c r="F39" s="2">
        <v>217120.73749815</v>
      </c>
      <c r="G39" s="2">
        <v>65136.221249445</v>
      </c>
      <c r="H39" s="3">
        <f t="shared" si="1"/>
        <v>-0.46381940021159873</v>
      </c>
      <c r="I39" s="2">
        <f t="shared" si="2"/>
        <v>337641.48333184997</v>
      </c>
    </row>
    <row r="40" spans="1:9" x14ac:dyDescent="0.35">
      <c r="A40">
        <v>2017</v>
      </c>
      <c r="B40">
        <v>3</v>
      </c>
      <c r="C40" s="1">
        <f t="shared" si="0"/>
        <v>42795</v>
      </c>
      <c r="D40" s="2">
        <v>206528.25000000003</v>
      </c>
      <c r="E40" s="2">
        <v>206528.25000000003</v>
      </c>
      <c r="F40" s="2">
        <v>206528.25000000003</v>
      </c>
      <c r="G40" s="2">
        <v>61958.475000000006</v>
      </c>
      <c r="H40" s="3">
        <f t="shared" si="1"/>
        <v>-4.8786162115169805E-2</v>
      </c>
      <c r="I40" s="2">
        <f t="shared" si="2"/>
        <v>276196.18333199999</v>
      </c>
    </row>
    <row r="41" spans="1:9" x14ac:dyDescent="0.35">
      <c r="A41">
        <v>2017</v>
      </c>
      <c r="B41">
        <v>4</v>
      </c>
      <c r="C41" s="1">
        <f t="shared" si="0"/>
        <v>42826</v>
      </c>
      <c r="D41" s="2">
        <v>201270</v>
      </c>
      <c r="E41" s="2">
        <v>201270</v>
      </c>
      <c r="F41" s="2">
        <v>201270</v>
      </c>
      <c r="G41" s="2">
        <v>60381.000000000007</v>
      </c>
      <c r="H41" s="3">
        <f t="shared" si="1"/>
        <v>-2.5460197333778932E-2</v>
      </c>
      <c r="I41" s="2">
        <f t="shared" si="2"/>
        <v>208306.32916604998</v>
      </c>
    </row>
    <row r="42" spans="1:9" x14ac:dyDescent="0.35">
      <c r="A42">
        <v>2017</v>
      </c>
      <c r="B42">
        <v>5</v>
      </c>
      <c r="C42" s="1">
        <f t="shared" si="0"/>
        <v>42856</v>
      </c>
      <c r="D42" s="2">
        <v>205422.75</v>
      </c>
      <c r="E42" s="2">
        <v>205422.75</v>
      </c>
      <c r="F42" s="2">
        <v>205422.75</v>
      </c>
      <c r="G42" s="2">
        <v>61626.82499999999</v>
      </c>
      <c r="H42" s="3">
        <f t="shared" si="1"/>
        <v>2.0632732150842152E-2</v>
      </c>
      <c r="I42" s="2">
        <f t="shared" si="2"/>
        <v>204407</v>
      </c>
    </row>
    <row r="43" spans="1:9" x14ac:dyDescent="0.35">
      <c r="A43">
        <v>2017</v>
      </c>
      <c r="B43">
        <v>6</v>
      </c>
      <c r="C43" s="1">
        <f t="shared" si="0"/>
        <v>42887</v>
      </c>
      <c r="D43" s="2">
        <v>196040.4</v>
      </c>
      <c r="E43" s="2">
        <v>196040.4</v>
      </c>
      <c r="F43" s="2">
        <v>196040.4</v>
      </c>
      <c r="G43" s="2">
        <v>58812.12</v>
      </c>
      <c r="H43" s="3">
        <f t="shared" si="1"/>
        <v>-4.5673373567435963E-2</v>
      </c>
      <c r="I43" s="2">
        <f t="shared" si="2"/>
        <v>200911.05000000002</v>
      </c>
    </row>
    <row r="44" spans="1:9" x14ac:dyDescent="0.35">
      <c r="A44">
        <v>2017</v>
      </c>
      <c r="B44">
        <v>7</v>
      </c>
      <c r="C44" s="1">
        <f t="shared" si="0"/>
        <v>42917</v>
      </c>
      <c r="D44" s="2">
        <v>187672.65000000002</v>
      </c>
      <c r="E44" s="2">
        <v>187672.65000000002</v>
      </c>
      <c r="F44" s="2">
        <v>187672.65000000002</v>
      </c>
      <c r="G44" s="2">
        <v>56301.795000000006</v>
      </c>
      <c r="H44" s="3">
        <f t="shared" si="1"/>
        <v>-4.2683803950614115E-2</v>
      </c>
      <c r="I44" s="2">
        <f t="shared" si="2"/>
        <v>196378.6</v>
      </c>
    </row>
    <row r="45" spans="1:9" x14ac:dyDescent="0.35">
      <c r="A45">
        <v>2017</v>
      </c>
      <c r="B45">
        <v>8</v>
      </c>
      <c r="C45" s="1">
        <f t="shared" si="0"/>
        <v>42948</v>
      </c>
      <c r="D45" s="2">
        <v>195363</v>
      </c>
      <c r="E45" s="2">
        <v>195363</v>
      </c>
      <c r="F45" s="2">
        <v>195363</v>
      </c>
      <c r="G45" s="2">
        <v>58608.9</v>
      </c>
      <c r="H45" s="3">
        <f t="shared" si="1"/>
        <v>4.09774679475138E-2</v>
      </c>
      <c r="I45" s="2">
        <f t="shared" si="2"/>
        <v>193025.35</v>
      </c>
    </row>
    <row r="46" spans="1:9" x14ac:dyDescent="0.35">
      <c r="A46">
        <v>2017</v>
      </c>
      <c r="B46">
        <v>9</v>
      </c>
      <c r="C46" s="1">
        <f t="shared" si="0"/>
        <v>42979</v>
      </c>
      <c r="D46" s="2">
        <v>249126.15</v>
      </c>
      <c r="E46" s="2">
        <v>249126.15</v>
      </c>
      <c r="F46" s="2">
        <v>249126.15</v>
      </c>
      <c r="G46" s="2">
        <v>74737.845000000001</v>
      </c>
      <c r="H46" s="3">
        <f t="shared" si="1"/>
        <v>0.27519617327743734</v>
      </c>
      <c r="I46" s="2">
        <f t="shared" si="2"/>
        <v>210720.6</v>
      </c>
    </row>
    <row r="47" spans="1:9" x14ac:dyDescent="0.35">
      <c r="A47">
        <v>2017</v>
      </c>
      <c r="B47">
        <v>10</v>
      </c>
      <c r="C47" s="1">
        <f t="shared" si="0"/>
        <v>43009</v>
      </c>
      <c r="D47" s="2">
        <v>307519.05000000005</v>
      </c>
      <c r="E47" s="2">
        <v>307519.05000000005</v>
      </c>
      <c r="F47" s="2">
        <v>307519.05000000005</v>
      </c>
      <c r="G47" s="2">
        <v>92255.714999999982</v>
      </c>
      <c r="H47" s="3">
        <f t="shared" si="1"/>
        <v>0.23439088991661475</v>
      </c>
      <c r="I47" s="2">
        <f t="shared" si="2"/>
        <v>250669.40000000002</v>
      </c>
    </row>
    <row r="48" spans="1:9" x14ac:dyDescent="0.35">
      <c r="A48">
        <v>2017</v>
      </c>
      <c r="B48">
        <v>11</v>
      </c>
      <c r="C48" s="1">
        <f t="shared" si="0"/>
        <v>43040</v>
      </c>
      <c r="D48" s="2">
        <v>255836.84999999998</v>
      </c>
      <c r="E48" s="2">
        <v>255836.84999999998</v>
      </c>
      <c r="F48" s="2">
        <v>255836.84999999998</v>
      </c>
      <c r="G48" s="2">
        <v>76751.054999999978</v>
      </c>
      <c r="H48" s="3">
        <f t="shared" si="1"/>
        <v>-0.16806178348951084</v>
      </c>
      <c r="I48" s="2">
        <f t="shared" si="2"/>
        <v>270827.35000000003</v>
      </c>
    </row>
    <row r="49" spans="1:9" x14ac:dyDescent="0.35">
      <c r="A49">
        <v>2017</v>
      </c>
      <c r="B49">
        <v>12</v>
      </c>
      <c r="C49" s="1">
        <f t="shared" si="0"/>
        <v>43070</v>
      </c>
      <c r="D49" s="2">
        <v>283065.45</v>
      </c>
      <c r="E49" s="2">
        <v>283065.45</v>
      </c>
      <c r="F49" s="2">
        <v>283065.45</v>
      </c>
      <c r="G49" s="2">
        <v>84919.634999999995</v>
      </c>
      <c r="H49" s="3">
        <f t="shared" si="1"/>
        <v>0.10642954679906369</v>
      </c>
      <c r="I49" s="2">
        <f t="shared" si="2"/>
        <v>282140.45</v>
      </c>
    </row>
    <row r="50" spans="1:9" x14ac:dyDescent="0.35">
      <c r="A50">
        <v>2018</v>
      </c>
      <c r="B50">
        <v>1</v>
      </c>
      <c r="C50" s="1">
        <f t="shared" si="0"/>
        <v>43101</v>
      </c>
      <c r="D50" s="2">
        <v>297855.15000000002</v>
      </c>
      <c r="E50" s="2">
        <v>297855.15000000002</v>
      </c>
      <c r="F50" s="2">
        <v>297855.15000000002</v>
      </c>
      <c r="G50" s="2">
        <v>89356.544999999998</v>
      </c>
      <c r="H50" s="3">
        <f t="shared" si="1"/>
        <v>5.2248340445646087E-2</v>
      </c>
      <c r="I50" s="2">
        <f t="shared" si="2"/>
        <v>278919.15000000002</v>
      </c>
    </row>
    <row r="51" spans="1:9" x14ac:dyDescent="0.35">
      <c r="A51">
        <v>2018</v>
      </c>
      <c r="B51">
        <v>2</v>
      </c>
      <c r="C51" s="1">
        <f t="shared" si="0"/>
        <v>43132</v>
      </c>
      <c r="D51" s="2">
        <v>326174.69999999995</v>
      </c>
      <c r="E51" s="2">
        <v>326174.69999999995</v>
      </c>
      <c r="F51" s="2">
        <v>326174.69999999995</v>
      </c>
      <c r="G51" s="2">
        <v>97852.410000000033</v>
      </c>
      <c r="H51" s="3">
        <f t="shared" si="1"/>
        <v>9.5078262034414815E-2</v>
      </c>
      <c r="I51" s="2">
        <f t="shared" si="2"/>
        <v>302365.10000000003</v>
      </c>
    </row>
    <row r="52" spans="1:9" x14ac:dyDescent="0.35">
      <c r="A52">
        <v>2018</v>
      </c>
      <c r="B52">
        <v>3</v>
      </c>
      <c r="C52" s="1">
        <f t="shared" si="0"/>
        <v>43160</v>
      </c>
      <c r="D52" s="2">
        <v>323527.04999999993</v>
      </c>
      <c r="E52" s="2">
        <v>323527.04999999993</v>
      </c>
      <c r="F52" s="2">
        <v>323527.04999999993</v>
      </c>
      <c r="G52" s="2">
        <v>97058.115000000005</v>
      </c>
      <c r="H52" s="3">
        <f t="shared" si="1"/>
        <v>-8.117275803426886E-3</v>
      </c>
      <c r="I52" s="2">
        <f t="shared" si="2"/>
        <v>315852.3</v>
      </c>
    </row>
    <row r="53" spans="1:9" x14ac:dyDescent="0.35">
      <c r="A53">
        <v>2018</v>
      </c>
      <c r="B53">
        <v>4</v>
      </c>
      <c r="C53" s="1">
        <f t="shared" si="0"/>
        <v>43191</v>
      </c>
      <c r="D53" s="2">
        <v>284209.5</v>
      </c>
      <c r="E53" s="2">
        <v>284209.5</v>
      </c>
      <c r="F53" s="2">
        <v>284209.5</v>
      </c>
      <c r="G53" s="2">
        <v>85262.849999999991</v>
      </c>
      <c r="H53" s="3">
        <f t="shared" si="1"/>
        <v>-0.12152785988064967</v>
      </c>
      <c r="I53" s="2">
        <f t="shared" si="2"/>
        <v>311303.74999999994</v>
      </c>
    </row>
    <row r="54" spans="1:9" x14ac:dyDescent="0.35">
      <c r="A54">
        <v>2018</v>
      </c>
      <c r="B54">
        <v>5</v>
      </c>
      <c r="C54" s="1">
        <f t="shared" si="0"/>
        <v>43221</v>
      </c>
      <c r="D54" s="2">
        <v>247519.5</v>
      </c>
      <c r="E54" s="2">
        <v>247519.5</v>
      </c>
      <c r="F54" s="2">
        <v>247519.5</v>
      </c>
      <c r="G54" s="2">
        <v>74255.849999999991</v>
      </c>
      <c r="H54" s="3">
        <f t="shared" si="1"/>
        <v>-0.12909491062051057</v>
      </c>
      <c r="I54" s="2">
        <f t="shared" si="2"/>
        <v>285085.34999999998</v>
      </c>
    </row>
    <row r="55" spans="1:9" x14ac:dyDescent="0.35">
      <c r="A55">
        <v>2018</v>
      </c>
      <c r="B55">
        <v>6</v>
      </c>
      <c r="C55" s="1">
        <f t="shared" si="0"/>
        <v>43252</v>
      </c>
      <c r="D55" s="2">
        <v>212152.35</v>
      </c>
      <c r="E55" s="2">
        <v>212152.35</v>
      </c>
      <c r="F55" s="2">
        <v>212152.35</v>
      </c>
      <c r="G55" s="2">
        <v>63645.704999999994</v>
      </c>
      <c r="H55" s="3">
        <f t="shared" si="1"/>
        <v>-0.14288631804766894</v>
      </c>
      <c r="I55" s="2">
        <f t="shared" si="2"/>
        <v>247960.44999999998</v>
      </c>
    </row>
    <row r="56" spans="1:9" x14ac:dyDescent="0.35">
      <c r="A56">
        <v>2018</v>
      </c>
      <c r="B56">
        <v>7</v>
      </c>
      <c r="C56" s="1">
        <f t="shared" si="0"/>
        <v>43282</v>
      </c>
      <c r="D56" s="2">
        <v>234521.84999999998</v>
      </c>
      <c r="E56" s="2">
        <v>234521.84999999998</v>
      </c>
      <c r="F56" s="2">
        <v>234521.84999999998</v>
      </c>
      <c r="G56" s="2">
        <v>70356.555000000008</v>
      </c>
      <c r="H56" s="3">
        <f t="shared" si="1"/>
        <v>0.10544073633876773</v>
      </c>
      <c r="I56" s="2">
        <f t="shared" si="2"/>
        <v>231397.9</v>
      </c>
    </row>
    <row r="57" spans="1:9" x14ac:dyDescent="0.35">
      <c r="A57">
        <v>2018</v>
      </c>
      <c r="B57">
        <v>8</v>
      </c>
      <c r="C57" s="1">
        <f t="shared" si="0"/>
        <v>43313</v>
      </c>
      <c r="D57" s="2">
        <v>241786.05</v>
      </c>
      <c r="E57" s="2">
        <v>241786.05</v>
      </c>
      <c r="F57" s="2">
        <v>241786.05</v>
      </c>
      <c r="G57" s="2">
        <v>72535.815000000017</v>
      </c>
      <c r="H57" s="3">
        <f t="shared" si="1"/>
        <v>3.0974512609379518E-2</v>
      </c>
      <c r="I57" s="2">
        <f t="shared" si="2"/>
        <v>229486.75</v>
      </c>
    </row>
    <row r="58" spans="1:9" x14ac:dyDescent="0.35">
      <c r="A58">
        <v>2018</v>
      </c>
      <c r="B58">
        <v>9</v>
      </c>
      <c r="C58" s="1">
        <f t="shared" si="0"/>
        <v>43344</v>
      </c>
      <c r="D58" s="2">
        <v>297206.09999999998</v>
      </c>
      <c r="E58" s="2">
        <v>297206.09999999998</v>
      </c>
      <c r="F58" s="2">
        <v>297206.09999999998</v>
      </c>
      <c r="G58" s="2">
        <v>89161.83</v>
      </c>
      <c r="H58" s="3">
        <f t="shared" si="1"/>
        <v>0.22921111453700488</v>
      </c>
      <c r="I58" s="2">
        <f t="shared" si="2"/>
        <v>257838</v>
      </c>
    </row>
    <row r="59" spans="1:9" x14ac:dyDescent="0.35">
      <c r="A59">
        <v>2018</v>
      </c>
      <c r="B59">
        <v>10</v>
      </c>
      <c r="C59" s="1">
        <f t="shared" si="0"/>
        <v>43374</v>
      </c>
      <c r="D59" s="2">
        <v>329300.25</v>
      </c>
      <c r="E59" s="2">
        <v>329300.25</v>
      </c>
      <c r="F59" s="2">
        <v>329300.25</v>
      </c>
      <c r="G59" s="2">
        <v>98790.075000000012</v>
      </c>
      <c r="H59" s="3">
        <f t="shared" si="1"/>
        <v>0.1079861752501043</v>
      </c>
      <c r="I59" s="2">
        <f t="shared" si="2"/>
        <v>289430.8</v>
      </c>
    </row>
    <row r="60" spans="1:9" x14ac:dyDescent="0.35">
      <c r="A60">
        <v>2018</v>
      </c>
      <c r="B60">
        <v>11</v>
      </c>
      <c r="C60" s="1">
        <f t="shared" si="0"/>
        <v>43405</v>
      </c>
      <c r="D60" s="2">
        <v>301301.55000000005</v>
      </c>
      <c r="E60" s="2">
        <v>301301.55000000005</v>
      </c>
      <c r="F60" s="2">
        <v>301301.55000000005</v>
      </c>
      <c r="G60" s="2">
        <v>90390.464999999982</v>
      </c>
      <c r="H60" s="3">
        <f t="shared" si="1"/>
        <v>-8.5024836756121366E-2</v>
      </c>
      <c r="I60" s="2">
        <f t="shared" si="2"/>
        <v>309269.3</v>
      </c>
    </row>
    <row r="61" spans="1:9" x14ac:dyDescent="0.35">
      <c r="A61">
        <v>2018</v>
      </c>
      <c r="B61">
        <v>12</v>
      </c>
      <c r="C61" s="1">
        <f t="shared" si="0"/>
        <v>43435</v>
      </c>
      <c r="D61" s="2">
        <v>337130.10000000003</v>
      </c>
      <c r="E61" s="2">
        <v>337130.10000000003</v>
      </c>
      <c r="F61" s="2">
        <v>337130.10000000003</v>
      </c>
      <c r="G61" s="2">
        <v>101139.03</v>
      </c>
      <c r="H61" s="3">
        <f t="shared" si="1"/>
        <v>0.11891259769490062</v>
      </c>
      <c r="I61" s="2">
        <f t="shared" si="2"/>
        <v>322577.30000000005</v>
      </c>
    </row>
    <row r="62" spans="1:9" x14ac:dyDescent="0.35">
      <c r="A62">
        <v>2019</v>
      </c>
      <c r="B62">
        <v>1</v>
      </c>
      <c r="C62" s="1">
        <f t="shared" si="0"/>
        <v>43466</v>
      </c>
      <c r="D62" s="2">
        <v>431273.7</v>
      </c>
      <c r="E62" s="2">
        <v>431273.7</v>
      </c>
      <c r="F62" s="2">
        <v>431273.7</v>
      </c>
      <c r="G62" s="2">
        <v>129382.11</v>
      </c>
      <c r="H62" s="3">
        <f t="shared" si="1"/>
        <v>0.27925005806363767</v>
      </c>
      <c r="I62" s="2">
        <f t="shared" si="2"/>
        <v>356568.45</v>
      </c>
    </row>
    <row r="63" spans="1:9" x14ac:dyDescent="0.35">
      <c r="A63">
        <v>2019</v>
      </c>
      <c r="B63">
        <v>2</v>
      </c>
      <c r="C63" s="1">
        <f t="shared" si="0"/>
        <v>43497</v>
      </c>
      <c r="D63" s="2">
        <v>291629.55</v>
      </c>
      <c r="E63" s="2">
        <v>291629.55</v>
      </c>
      <c r="F63" s="2">
        <v>291629.55</v>
      </c>
      <c r="G63" s="2">
        <v>87488.864999999991</v>
      </c>
      <c r="H63" s="3">
        <f t="shared" si="1"/>
        <v>-0.32379472710717122</v>
      </c>
      <c r="I63" s="2">
        <f t="shared" si="2"/>
        <v>353344.45</v>
      </c>
    </row>
    <row r="64" spans="1:9" x14ac:dyDescent="0.35">
      <c r="A64">
        <v>2019</v>
      </c>
      <c r="B64">
        <v>3</v>
      </c>
      <c r="C64" s="1">
        <f t="shared" si="0"/>
        <v>43525</v>
      </c>
      <c r="D64" s="2">
        <v>305840.7</v>
      </c>
      <c r="E64" s="2">
        <v>305840.7</v>
      </c>
      <c r="F64" s="2">
        <v>305840.7</v>
      </c>
      <c r="G64" s="2">
        <v>91752.21</v>
      </c>
      <c r="H64" s="3">
        <f t="shared" si="1"/>
        <v>4.8730144116054162E-2</v>
      </c>
      <c r="I64" s="2">
        <f t="shared" si="2"/>
        <v>342914.64999999997</v>
      </c>
    </row>
    <row r="65" spans="1:9" x14ac:dyDescent="0.35">
      <c r="A65">
        <v>2019</v>
      </c>
      <c r="B65">
        <v>4</v>
      </c>
      <c r="C65" s="1">
        <f t="shared" si="0"/>
        <v>43556</v>
      </c>
      <c r="D65" s="2">
        <v>257520.75</v>
      </c>
      <c r="E65" s="2">
        <v>257520.74999999994</v>
      </c>
      <c r="F65" s="2">
        <v>257520.74999999994</v>
      </c>
      <c r="G65" s="2">
        <v>77256.224999999991</v>
      </c>
      <c r="H65" s="3">
        <f t="shared" si="1"/>
        <v>-0.15799058137128252</v>
      </c>
      <c r="I65" s="2">
        <f t="shared" si="2"/>
        <v>284997</v>
      </c>
    </row>
    <row r="66" spans="1:9" x14ac:dyDescent="0.35">
      <c r="A66">
        <v>2019</v>
      </c>
      <c r="B66">
        <v>5</v>
      </c>
      <c r="C66" s="1">
        <f t="shared" si="0"/>
        <v>43586</v>
      </c>
      <c r="D66" s="2">
        <v>269767.7500005</v>
      </c>
      <c r="E66" s="2">
        <v>269767.7500005</v>
      </c>
      <c r="F66" s="2">
        <v>269767.7500005</v>
      </c>
      <c r="G66" s="2">
        <v>80930.325000150027</v>
      </c>
      <c r="H66" s="3">
        <f t="shared" si="1"/>
        <v>4.7557332760563967E-2</v>
      </c>
      <c r="I66" s="2">
        <f t="shared" si="2"/>
        <v>277709.73333349999</v>
      </c>
    </row>
    <row r="67" spans="1:9" x14ac:dyDescent="0.35">
      <c r="A67">
        <v>2019</v>
      </c>
      <c r="B67">
        <v>6</v>
      </c>
      <c r="C67" s="1">
        <f t="shared" ref="C67:C71" si="3">DATE(A67,B67,1)</f>
        <v>43617</v>
      </c>
      <c r="D67" s="2">
        <v>222361.05000000002</v>
      </c>
      <c r="E67" s="2">
        <v>222361.05000000002</v>
      </c>
      <c r="F67" s="2">
        <v>222361.05000000002</v>
      </c>
      <c r="G67" s="2">
        <v>66708.315000000002</v>
      </c>
      <c r="H67" s="3">
        <f t="shared" si="1"/>
        <v>-0.17573153203232084</v>
      </c>
      <c r="I67" s="2">
        <f t="shared" si="2"/>
        <v>249883.18333350003</v>
      </c>
    </row>
    <row r="68" spans="1:9" x14ac:dyDescent="0.35">
      <c r="A68">
        <v>2019</v>
      </c>
      <c r="B68">
        <v>7</v>
      </c>
      <c r="C68" s="1">
        <f t="shared" si="3"/>
        <v>43647</v>
      </c>
      <c r="D68" s="2">
        <v>223322.40000000002</v>
      </c>
      <c r="E68" s="2">
        <v>223322.40000000002</v>
      </c>
      <c r="F68" s="2">
        <v>223322.40000000002</v>
      </c>
      <c r="G68" s="2">
        <v>66996.719999999987</v>
      </c>
      <c r="H68" s="3">
        <f t="shared" ref="H68:H71" si="4">(D68-D67)/D67</f>
        <v>4.3233740801278181E-3</v>
      </c>
      <c r="I68" s="2">
        <f t="shared" si="2"/>
        <v>238483.73333350001</v>
      </c>
    </row>
    <row r="69" spans="1:9" x14ac:dyDescent="0.35">
      <c r="A69">
        <v>2019</v>
      </c>
      <c r="B69">
        <v>8</v>
      </c>
      <c r="C69" s="1">
        <f t="shared" si="3"/>
        <v>43678</v>
      </c>
      <c r="D69" s="2">
        <v>206666.84999999995</v>
      </c>
      <c r="E69" s="2">
        <v>206666.84999999995</v>
      </c>
      <c r="F69" s="2">
        <v>206666.84999999995</v>
      </c>
      <c r="G69" s="2">
        <v>62000.055</v>
      </c>
      <c r="H69" s="3">
        <f t="shared" si="4"/>
        <v>-7.4580740669095771E-2</v>
      </c>
      <c r="I69" s="2">
        <f t="shared" ref="I69:I71" si="5">AVERAGE(D67:D69)</f>
        <v>217450.1</v>
      </c>
    </row>
    <row r="70" spans="1:9" x14ac:dyDescent="0.35">
      <c r="A70">
        <v>2019</v>
      </c>
      <c r="B70">
        <v>9</v>
      </c>
      <c r="C70" s="1">
        <f t="shared" si="3"/>
        <v>43709</v>
      </c>
      <c r="D70" s="2">
        <v>273720.55000004999</v>
      </c>
      <c r="E70" s="2">
        <v>273720.55000004999</v>
      </c>
      <c r="F70" s="2">
        <v>273720.55000004999</v>
      </c>
      <c r="G70" s="2">
        <v>82116.165000014997</v>
      </c>
      <c r="H70" s="3">
        <f t="shared" si="4"/>
        <v>0.32445309927571869</v>
      </c>
      <c r="I70" s="2">
        <f t="shared" si="5"/>
        <v>234569.93333335</v>
      </c>
    </row>
    <row r="71" spans="1:9" x14ac:dyDescent="0.35">
      <c r="A71">
        <v>2019</v>
      </c>
      <c r="B71">
        <v>10</v>
      </c>
      <c r="C71" s="1">
        <f t="shared" si="3"/>
        <v>43739</v>
      </c>
      <c r="D71" s="2">
        <v>80790</v>
      </c>
      <c r="E71" s="2">
        <v>80790</v>
      </c>
      <c r="F71" s="2">
        <f>E71</f>
        <v>80790</v>
      </c>
      <c r="G71" s="2">
        <v>24237.000000000004</v>
      </c>
      <c r="H71" s="3">
        <f t="shared" si="4"/>
        <v>-0.70484495957652704</v>
      </c>
      <c r="I71" s="2">
        <f t="shared" si="5"/>
        <v>187059.13333334998</v>
      </c>
    </row>
    <row r="72" spans="1:9" x14ac:dyDescent="0.35">
      <c r="C72" s="4">
        <v>43770</v>
      </c>
      <c r="D72" s="5">
        <f>_xlfn.FORECAST.LINEAR(C72,$D$2:$D$71,$C$2:$C$71)</f>
        <v>269392.75284164993</v>
      </c>
      <c r="E72" s="5"/>
      <c r="F72" s="5">
        <f>_xlfn.FORECAST.ETS(C72,$D$2:$D$71,$C$2:$C$71)</f>
        <v>217898.22884084744</v>
      </c>
      <c r="G72" s="5">
        <f>_xlfn.FORECAST.LINEAR(C72,$G$2:$G$71,$C$2:$C$71)</f>
        <v>80817.825852494978</v>
      </c>
      <c r="H72" s="6">
        <f t="shared" ref="H72:H77" si="6">(D72-D71)/D71</f>
        <v>2.3344814066301511</v>
      </c>
      <c r="I72" s="5">
        <f t="shared" ref="I72:I77" si="7">AVERAGE(D70:D72)</f>
        <v>207967.76761389998</v>
      </c>
    </row>
    <row r="73" spans="1:9" x14ac:dyDescent="0.35">
      <c r="C73" s="4">
        <v>43800</v>
      </c>
      <c r="D73" s="5">
        <f t="shared" ref="D73:F77" si="8">_xlfn.FORECAST.LINEAR(C73,$D$2:$D$71,$C$2:$C$71)</f>
        <v>269280.99718940537</v>
      </c>
      <c r="E73" s="5"/>
      <c r="F73" s="5">
        <f t="shared" ref="F73:F77" si="9">_xlfn.FORECAST.ETS(C73,$D$2:$D$71,$C$2:$C$71)</f>
        <v>276094.98068784387</v>
      </c>
      <c r="G73" s="5">
        <f t="shared" ref="G73:G77" si="10">_xlfn.FORECAST.LINEAR(C73,$G$2:$G$71,$C$2:$C$71)</f>
        <v>80784.299156821624</v>
      </c>
      <c r="H73" s="6">
        <f t="shared" si="6"/>
        <v>-4.1484283101796149E-4</v>
      </c>
      <c r="I73" s="5">
        <f t="shared" si="7"/>
        <v>206487.91667701842</v>
      </c>
    </row>
    <row r="74" spans="1:9" x14ac:dyDescent="0.35">
      <c r="C74" s="4">
        <v>43831</v>
      </c>
      <c r="D74" s="5">
        <f t="shared" si="8"/>
        <v>269165.51634875272</v>
      </c>
      <c r="E74" s="5"/>
      <c r="F74" s="5">
        <f t="shared" si="9"/>
        <v>293042.69164455275</v>
      </c>
      <c r="G74" s="5">
        <f t="shared" si="10"/>
        <v>80749.654904625815</v>
      </c>
      <c r="H74" s="6">
        <f t="shared" si="6"/>
        <v>-4.2884883024787274E-4</v>
      </c>
      <c r="I74" s="5">
        <f t="shared" si="7"/>
        <v>269279.75545993604</v>
      </c>
    </row>
    <row r="75" spans="1:9" x14ac:dyDescent="0.35">
      <c r="C75" s="4">
        <v>43862</v>
      </c>
      <c r="D75" s="5">
        <f t="shared" si="8"/>
        <v>269050.03550810006</v>
      </c>
      <c r="E75" s="5"/>
      <c r="F75" s="5">
        <f t="shared" si="9"/>
        <v>203704.29965322194</v>
      </c>
      <c r="G75" s="5">
        <f t="shared" si="10"/>
        <v>80715.010652430006</v>
      </c>
      <c r="H75" s="6">
        <f t="shared" si="6"/>
        <v>-4.290328204710697E-4</v>
      </c>
      <c r="I75" s="5">
        <f t="shared" si="7"/>
        <v>269165.51634875272</v>
      </c>
    </row>
    <row r="76" spans="1:9" x14ac:dyDescent="0.35">
      <c r="C76" s="4">
        <v>43891</v>
      </c>
      <c r="D76" s="5">
        <f t="shared" si="8"/>
        <v>268942.00504426361</v>
      </c>
      <c r="E76" s="5"/>
      <c r="F76" s="5">
        <f t="shared" si="9"/>
        <v>205702.63299669087</v>
      </c>
      <c r="G76" s="5">
        <f t="shared" si="10"/>
        <v>80682.601513279093</v>
      </c>
      <c r="H76" s="6">
        <f t="shared" si="6"/>
        <v>-4.0152555130658769E-4</v>
      </c>
      <c r="I76" s="5">
        <f t="shared" si="7"/>
        <v>269052.51896703878</v>
      </c>
    </row>
    <row r="77" spans="1:9" x14ac:dyDescent="0.35">
      <c r="C77" s="4">
        <v>43922</v>
      </c>
      <c r="D77" s="5">
        <f t="shared" si="8"/>
        <v>268826.52420361096</v>
      </c>
      <c r="E77" s="5"/>
      <c r="F77" s="5">
        <f t="shared" si="9"/>
        <v>188923.58466273869</v>
      </c>
      <c r="G77" s="5">
        <f t="shared" si="10"/>
        <v>80647.957261083284</v>
      </c>
      <c r="H77" s="6">
        <f t="shared" si="6"/>
        <v>-4.2938937944502528E-4</v>
      </c>
      <c r="I77" s="5">
        <f t="shared" si="7"/>
        <v>268939.5215853249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EE3D-A81C-4DE4-8778-B528B8B553FA}">
  <sheetPr>
    <pageSetUpPr fitToPage="1"/>
  </sheetPr>
  <dimension ref="B2:D4"/>
  <sheetViews>
    <sheetView showGridLines="0" tabSelected="1" zoomScale="110" zoomScaleNormal="110" workbookViewId="0">
      <selection sqref="A1:W80"/>
    </sheetView>
  </sheetViews>
  <sheetFormatPr defaultRowHeight="14.5" x14ac:dyDescent="0.35"/>
  <cols>
    <col min="2" max="2" width="27.54296875" bestFit="1" customWidth="1"/>
  </cols>
  <sheetData>
    <row r="2" spans="2:4" x14ac:dyDescent="0.35">
      <c r="B2" s="7" t="s">
        <v>10</v>
      </c>
      <c r="D2">
        <f>'Forecast Model'!F72</f>
        <v>217898.22884084744</v>
      </c>
    </row>
    <row r="3" spans="2:4" x14ac:dyDescent="0.35">
      <c r="B3" s="8" t="s">
        <v>9</v>
      </c>
      <c r="D3" s="10">
        <f>AVERAGE('Forecast Model'!H3:H71)</f>
        <v>3.4685100935154356E-3</v>
      </c>
    </row>
    <row r="4" spans="2:4" x14ac:dyDescent="0.35">
      <c r="B4" s="9" t="s">
        <v>11</v>
      </c>
      <c r="D4" t="s">
        <v>12</v>
      </c>
    </row>
  </sheetData>
  <pageMargins left="0.25" right="0.25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Forecast Model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2026-04-14T19:07:06Z</cp:lastPrinted>
  <dcterms:created xsi:type="dcterms:W3CDTF">2026-04-14T15:09:15Z</dcterms:created>
  <dcterms:modified xsi:type="dcterms:W3CDTF">2026-04-14T19:07:19Z</dcterms:modified>
</cp:coreProperties>
</file>